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a9c835917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or" sheetId="1" r:id="Re7786cf5a385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9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sz val="10"/>
      <x:color rgb="00E5E7EB"/>
    </x:font>
    <x:font>
      <x:b/>
      <x:sz val="11"/>
      <x:color rgb="00FFFFFF"/>
    </x:font>
    <x:font>
      <x:b/>
      <x:sz val="10"/>
      <x:color rgb="00111827"/>
    </x:font>
    <x:font>
      <x:sz val="10"/>
      <x:color rgb="001D4ED8"/>
    </x:font>
    <x:font>
      <x:sz val="9"/>
      <x:color rgb="006B7280"/>
    </x:font>
    <x:font>
      <x:b/>
      <x:sz val="12"/>
      <x:color rgb="00065F46"/>
    </x:font>
    <x:font>
      <x:b/>
      <x:sz val="14"/>
      <x:color rgb="00FFFFFF"/>
    </x:font>
  </x:fonts>
  <x:fills count="8">
    <x:fill>
      <x:patternFill patternType="none"/>
    </x:fill>
    <x:fill>
      <x:patternFill patternType="gray125"/>
    </x:fill>
    <x:fill>
      <x:patternFill patternType="solid">
        <x:fgColor rgb="00111827"/>
      </x:patternFill>
    </x:fill>
    <x:fill>
      <x:patternFill patternType="solid">
        <x:fgColor rgb="001F2937"/>
      </x:patternFill>
    </x:fill>
    <x:fill>
      <x:patternFill patternType="solid">
        <x:fgColor rgb="00F3F4F6"/>
      </x:patternFill>
    </x:fill>
    <x:fill>
      <x:patternFill patternType="solid">
        <x:fgColor rgb="00FFF7CC"/>
      </x:patternFill>
    </x:fill>
    <x:fill>
      <x:patternFill patternType="solid">
        <x:fgColor rgb="00D1FAE5"/>
      </x:patternFill>
    </x:fill>
    <x:fill>
      <x:patternFill patternType="solid">
        <x:fgColor rgb="00065F46"/>
      </x:patternFill>
    </x:fill>
  </x:fills>
  <x:borders count="6">
    <x:border>
      <x:left/>
      <x:right/>
      <x:top/>
      <x:bottom/>
      <x:diagonal/>
    </x:border>
    <x:border>
      <x:left style="thin">
        <x:color rgb="00D1D5DB"/>
      </x:left>
      <x:right style="thin">
        <x:color rgb="00D1D5DB"/>
      </x:right>
      <x:top style="thin">
        <x:color rgb="00D1D5DB"/>
      </x:top>
      <x:bottom style="thin">
        <x:color rgb="00D1D5DB"/>
      </x:bottom>
    </x:border>
    <x:border>
      <x:left/>
      <x:right/>
      <x:top style="thin">
        <x:color rgb="00D1D5DB"/>
      </x:top>
      <x:bottom/>
      <x:diagonal/>
    </x:border>
    <x:border>
      <x:left/>
      <x:right style="thin">
        <x:color rgb="00D1D5DB"/>
      </x:right>
      <x:top style="thin">
        <x:color rgb="00D1D5DB"/>
      </x:top>
      <x:bottom/>
      <x:diagonal/>
    </x:border>
    <x:border>
      <x:left/>
      <x:right/>
      <x:top style="thin">
        <x:color rgb="00D1D5DB"/>
      </x:top>
      <x:bottom style="thin">
        <x:color rgb="00D1D5DB"/>
      </x:bottom>
      <x:diagonal/>
    </x:border>
    <x:border>
      <x:left/>
      <x:right style="thin">
        <x:color rgb="00D1D5DB"/>
      </x:right>
      <x:top style="thin">
        <x:color rgb="00D1D5DB"/>
      </x:top>
      <x:bottom style="thin">
        <x:color rgb="00D1D5DB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2" borderId="1" xfId="0" applyAlignment="1">
      <x:alignment horizontal="left" vertical="center" wrapText="1"/>
    </x:xf>
    <x:xf numFmtId="0" fontId="0" fillId="0" borderId="1" xfId="0"/>
    <x:xf numFmtId="0" fontId="2" fillId="2" borderId="1" xfId="0" applyAlignment="1">
      <x:alignment horizontal="left" vertical="center" wrapText="1"/>
    </x:xf>
    <x:xf numFmtId="0" fontId="3" fillId="3" borderId="1" xfId="0" applyAlignment="1">
      <x:alignment horizontal="left" vertical="center" wrapText="1"/>
    </x:xf>
    <x:xf numFmtId="0" fontId="4" fillId="4" borderId="1" xfId="0" applyAlignment="1">
      <x:alignment horizontal="left" vertical="center" wrapText="1"/>
    </x:xf>
    <x:xf numFmtId="3" fontId="5" fillId="5" borderId="1" xfId="0" applyAlignment="1">
      <x:alignment horizontal="right" vertical="center"/>
    </x:xf>
    <x:xf numFmtId="0" fontId="6" fillId="0" borderId="0" xfId="0" applyAlignment="1">
      <x:alignment horizontal="left" vertical="center" wrapText="1"/>
    </x:xf>
    <x:xf numFmtId="164" fontId="5" fillId="5" borderId="1" xfId="0" applyAlignment="1">
      <x:alignment horizontal="right" vertical="center"/>
    </x:xf>
    <x:xf numFmtId="10" fontId="5" fillId="5" borderId="1" xfId="0" applyAlignment="1">
      <x:alignment horizontal="right" vertical="center"/>
    </x:xf>
    <x:xf numFmtId="9" fontId="5" fillId="5" borderId="1" xfId="0" applyAlignment="1">
      <x:alignment horizontal="right" vertical="center"/>
    </x:xf>
    <x:xf numFmtId="0" fontId="4" fillId="6" borderId="1" xfId="0" applyAlignment="1">
      <x:alignment horizontal="left" vertical="center" wrapText="1"/>
    </x:xf>
    <x:xf numFmtId="3" fontId="7" fillId="6" borderId="1" xfId="0" applyAlignment="1">
      <x:alignment horizontal="right" vertical="center"/>
    </x:xf>
    <x:xf numFmtId="0" fontId="0" fillId="6" borderId="1" xfId="0" applyAlignment="1">
      <x:alignment horizontal="left" vertical="center" wrapText="1"/>
    </x:xf>
    <x:xf numFmtId="0" fontId="0" fillId="0" borderId="4" xfId="0"/>
    <x:xf numFmtId="0" fontId="0" fillId="0" borderId="5" xfId="0"/>
    <x:xf numFmtId="0" fontId="5" fillId="5" borderId="1" xfId="0" applyAlignment="1">
      <x:alignment horizontal="left" vertical="center" wrapText="1"/>
    </x:xf>
    <x:xf numFmtId="0" fontId="5" fillId="5" borderId="1" xfId="0" applyAlignment="1">
      <x:alignment horizontal="right" vertical="center"/>
    </x:xf>
    <x:xf numFmtId="0" fontId="3" fillId="7" borderId="1" xfId="0" applyAlignment="1">
      <x:alignment horizontal="left" vertical="center" wrapText="1"/>
    </x:xf>
    <x:xf numFmtId="3" fontId="8" fillId="7" borderId="1" xfId="0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879f7422946cf" /><Relationship Type="http://schemas.openxmlformats.org/officeDocument/2006/relationships/theme" Target="/xl/theme/theme1.xml" Id="R07c429a5b00349f0" /><Relationship Type="http://schemas.openxmlformats.org/officeDocument/2006/relationships/sharedStrings" Target="/xl/sharedStrings.xml" Id="R20c64f07cf5146a1" /><Relationship Type="http://schemas.openxmlformats.org/officeDocument/2006/relationships/worksheet" Target="/xl/worksheets/sheet1.xml" Id="Re7786cf5a3854ee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" customWidth="1"/>
    <x:col min="2" max="2" width="30" customWidth="1"/>
    <x:col min="3" max="3" width="16" customWidth="1"/>
    <x:col min="4" max="4" width="2" customWidth="1"/>
    <x:col min="5" max="5" width="30" customWidth="1"/>
    <x:col min="6" max="6" width="18" customWidth="1"/>
    <x:col min="7" max="7" width="18" customWidth="1"/>
    <x:col min="8" max="8" width="2" customWidth="1"/>
  </x:cols>
  <x:sheetData>
    <x:row r="2">
      <x:c r="B2" s="1" t="inlineStr">
        <x:is>
          <x:t xml:space="preserve">MealScout Host Traffic Estimator (On-Site + Drive-By)</x:t>
        </x:is>
      </x:c>
      <x:c r="C2" s="2" t="n"/>
      <x:c r="D2" s="2" t="n"/>
      <x:c r="E2" s="2" t="n"/>
      <x:c r="F2" s="2" t="n"/>
      <x:c r="G2" s="2" t="n"/>
    </x:row>
    <x:row r="3">
      <x:c r="B3" s="3" t="inlineStr">
        <x:is>
          <x:t xml:space="preserve">Fill yellow cells. Outputs populate in green. Includes gas non-fuel stops + laundromat captive traffic + optional drive-by pull-ins.</x:t>
        </x:is>
      </x:c>
      <x:c r="C3" s="2" t="n"/>
      <x:c r="D3" s="2" t="n"/>
      <x:c r="E3" s="2" t="n"/>
      <x:c r="F3" s="2" t="n"/>
      <x:c r="G3" s="2" t="n"/>
    </x:row>
    <x:row r="5">
      <x:c r="B5" s="4" t="inlineStr">
        <x:is>
          <x:t xml:space="preserve">A) Drive-By Exposure (Optional Layer)</x:t>
        </x:is>
      </x:c>
      <x:c r="C5" s="2" t="n"/>
      <x:c r="D5" s="2" t="n"/>
      <x:c r="E5" s="2" t="n"/>
      <x:c r="F5" s="2" t="n"/>
      <x:c r="G5" s="2" t="n"/>
    </x:row>
    <x:row r="7">
      <x:c r="B7" s="5" t="inlineStr">
        <x:is>
          <x:t xml:space="preserve">AADT (cars/day)</x:t>
        </x:is>
      </x:c>
      <x:c r="C7" s="6" t="n">
        <x:v>20000</x:v>
      </x:c>
      <x:c r="E7" s="7" t="inlineStr">
        <x:is>
          <x:t xml:space="preserve">Average Annual Daily Traffic near frontage</x:t>
        </x:is>
      </x:c>
    </x:row>
    <x:row r="8">
      <x:c r="B8" s="5" t="inlineStr">
        <x:is>
          <x:t xml:space="preserve">Visibility Factor</x:t>
        </x:is>
      </x:c>
      <x:c r="C8" s="8" t="n">
        <x:v>1</x:v>
      </x:c>
      <x:c r="E8" s="7" t="inlineStr">
        <x:is>
          <x:t xml:space="preserve">0.7 poor • 1.0 normal • 1.2 great</x:t>
        </x:is>
      </x:c>
    </x:row>
    <x:row r="9">
      <x:c r="B9" s="5" t="inlineStr">
        <x:is>
          <x:t xml:space="preserve">Pull-In Rate</x:t>
        </x:is>
      </x:c>
      <x:c r="C9" s="9" t="n">
        <x:v>0.001</x:v>
      </x:c>
      <x:c r="E9" s="7" t="inlineStr">
        <x:is>
          <x:t xml:space="preserve">0.05%–0.20% typical (enter as decimal)</x:t>
        </x:is>
      </x:c>
    </x:row>
    <x:row r="10">
      <x:c r="B10" s="5" t="inlineStr">
        <x:is>
          <x:t xml:space="preserve">Food Conversion of Pull-Ins</x:t>
        </x:is>
      </x:c>
      <x:c r="C10" s="10" t="n">
        <x:v>0.3</x:v>
      </x:c>
      <x:c r="E10" s="7" t="inlineStr">
        <x:is>
          <x:t xml:space="preserve">% of pull-ins that buy from truck</x:t>
        </x:is>
      </x:c>
    </x:row>
    <x:row r="12">
      <x:c r="E12" s="11" t="inlineStr">
        <x:is>
          <x:t xml:space="preserve">Drive-By Buyers/day</x:t>
        </x:is>
      </x:c>
      <x:c r="F12" s="12">
        <x:f>C7*C8*C9*C10</x:f>
        <x:v>6</x:v>
      </x:c>
      <x:c r="G12" s="13" t="inlineStr">
        <x:is>
          <x:t xml:space="preserve">buyers</x:t>
        </x:is>
      </x:c>
    </x:row>
    <x:row r="15">
      <x:c r="B15" s="4" t="inlineStr">
        <x:is>
          <x:t xml:space="preserve">B) On-Site (Existing Business) Humans/Day</x:t>
        </x:is>
      </x:c>
      <x:c r="C15" s="2" t="n"/>
      <x:c r="D15" s="2" t="n"/>
      <x:c r="E15" s="2" t="n"/>
      <x:c r="F15" s="14" t="n"/>
      <x:c r="G15" s="15" t="n"/>
    </x:row>
    <x:row r="17">
      <x:c r="B17" s="5" t="inlineStr">
        <x:is>
          <x:t xml:space="preserve">Host Type</x:t>
        </x:is>
      </x:c>
      <x:c r="C17" s="16" t="inlineStr">
        <x:is>
          <x:t xml:space="preserve">Gas Station</x:t>
        </x:is>
      </x:c>
      <x:c r="E17" s="7" t="inlineStr">
        <x:is>
          <x:t xml:space="preserve">Choose host type (drives which inputs matter)</x:t>
        </x:is>
      </x:c>
    </x:row>
    <x:row r="19">
      <x:c r="B19" s="5" t="inlineStr">
        <x:is>
          <x:t xml:space="preserve"># Pumps</x:t>
        </x:is>
      </x:c>
      <x:c r="C19" s="17" t="n">
        <x:v>8</x:v>
      </x:c>
      <x:c r="E19" s="7" t="inlineStr">
        <x:is>
          <x:t xml:space="preserve">Count fueling positions / pump faces</x:t>
        </x:is>
      </x:c>
    </x:row>
    <x:row r="20">
      <x:c r="B20" s="5" t="inlineStr">
        <x:is>
          <x:t xml:space="preserve">Turns per Pump per Day</x:t>
        </x:is>
      </x:c>
      <x:c r="C20" s="17" t="n">
        <x:v>75</x:v>
      </x:c>
      <x:c r="E20" s="7" t="inlineStr">
        <x:is>
          <x:t xml:space="preserve">50 slow • 75 avg • 100 busy • 125 very busy</x:t>
        </x:is>
      </x:c>
    </x:row>
    <x:row r="21">
      <x:c r="B21" s="5" t="inlineStr">
        <x:is>
          <x:t xml:space="preserve">Non-Pump Parking Spaces</x:t>
        </x:is>
      </x:c>
      <x:c r="C21" s="17" t="n">
        <x:v>12</x:v>
      </x:c>
      <x:c r="E21" s="7" t="inlineStr">
        <x:is>
          <x:t xml:space="preserve">Regular parking spots (not pumps)</x:t>
        </x:is>
      </x:c>
    </x:row>
    <x:row r="22">
      <x:c r="B22" s="5" t="inlineStr">
        <x:is>
          <x:t xml:space="preserve">Turns per Space per Day</x:t>
        </x:is>
      </x:c>
      <x:c r="C22" s="17" t="n">
        <x:v>30</x:v>
      </x:c>
      <x:c r="E22" s="7" t="inlineStr">
        <x:is>
          <x:t xml:space="preserve">20 light • 30 avg • 40 busy • 50 very busy</x:t>
        </x:is>
      </x:c>
    </x:row>
    <x:row r="24">
      <x:c r="B24" s="5" t="inlineStr">
        <x:is>
          <x:t xml:space="preserve">Laundromat Inputs (used when Host Type = Laundromat)</x:t>
        </x:is>
      </x:c>
      <x:c r="C24" s="2" t="n"/>
      <x:c r="D24" s="2" t="n"/>
      <x:c r="E24" s="2" t="n"/>
      <x:c r="F24" s="2" t="n"/>
      <x:c r="G24" s="2" t="n"/>
    </x:row>
    <x:row r="26">
      <x:c r="B26" s="5" t="inlineStr">
        <x:is>
          <x:t xml:space="preserve"># Washers</x:t>
        </x:is>
      </x:c>
      <x:c r="C26" s="17" t="n">
        <x:v>30</x:v>
      </x:c>
      <x:c r="E26" s="7" t="inlineStr">
        <x:is>
          <x:t xml:space="preserve">Total washing machines</x:t>
        </x:is>
      </x:c>
    </x:row>
    <x:row r="27">
      <x:c r="B27" s="5" t="inlineStr">
        <x:is>
          <x:t xml:space="preserve">Turns per Washer per Day</x:t>
        </x:is>
      </x:c>
      <x:c r="C27" s="17" t="n">
        <x:v>4.5</x:v>
      </x:c>
      <x:c r="E27" s="7" t="inlineStr">
        <x:is>
          <x:t xml:space="preserve">3 light • 4 avg • 5 busy • 6 very busy</x:t>
        </x:is>
      </x:c>
    </x:row>
    <x:row r="28">
      <x:c r="B28" s="5" t="inlineStr">
        <x:is>
          <x:t xml:space="preserve">People per Laundry Session</x:t>
        </x:is>
      </x:c>
      <x:c r="C28" s="17" t="n">
        <x:v>1.3</x:v>
      </x:c>
      <x:c r="E28" s="7" t="inlineStr">
        <x:is>
          <x:t xml:space="preserve">Default 1.3 (adults/kids overlap)</x:t>
        </x:is>
      </x:c>
    </x:row>
    <x:row r="31">
      <x:c r="B31" s="4" t="inlineStr">
        <x:is>
          <x:t xml:space="preserve">C) Conversion Assumptions</x:t>
        </x:is>
      </x:c>
      <x:c r="C31" s="2" t="n"/>
      <x:c r="D31" s="2" t="n"/>
      <x:c r="E31" s="2" t="n"/>
      <x:c r="F31" s="2" t="n"/>
      <x:c r="G31" s="2" t="n"/>
    </x:row>
    <x:row r="33">
      <x:c r="B33" s="5" t="inlineStr">
        <x:is>
          <x:t xml:space="preserve">On-Site Capture Rate</x:t>
        </x:is>
      </x:c>
      <x:c r="C33" s="10" t="n">
        <x:v>0.08</x:v>
      </x:c>
      <x:c r="E33" s="7" t="inlineStr">
        <x:is>
          <x:t xml:space="preserve">Gas default 8% • Laundromat default 25%</x:t>
        </x:is>
      </x:c>
    </x:row>
    <x:row r="34">
      <x:c r="B34" s="5" t="inlineStr">
        <x:is>
          <x:t xml:space="preserve">Visibility / Friction Multiplier</x:t>
        </x:is>
      </x:c>
      <x:c r="C34" s="17" t="n">
        <x:v>1</x:v>
      </x:c>
      <x:c r="E34" s="7" t="inlineStr">
        <x:is>
          <x:t xml:space="preserve">0.8 hidden • 1.0 normal • 1.2 prime</x:t>
        </x:is>
      </x:c>
    </x:row>
    <x:row r="36">
      <x:c r="E36" s="4" t="inlineStr">
        <x:is>
          <x:t xml:space="preserve">Outputs</x:t>
        </x:is>
      </x:c>
      <x:c r="F36" s="2" t="n"/>
      <x:c r="G36" s="2" t="n"/>
    </x:row>
    <x:row r="38">
      <x:c r="E38" s="11" t="inlineStr">
        <x:is>
          <x:t xml:space="preserve">On-Site Humans/day</x:t>
        </x:is>
      </x:c>
      <x:c r="F38" s="12">
        <x:f>IF($C$17="Gas Station",($C$19*$C$20)+($C$21*$C$22),IF($C$17="Laundromat",$C$26*$C$27*$C$28,0))</x:f>
        <x:v>960</x:v>
      </x:c>
      <x:c r="G38" s="13" t="inlineStr">
        <x:is>
          <x:t xml:space="preserve">humans</x:t>
        </x:is>
      </x:c>
    </x:row>
    <x:row r="39">
      <x:c r="E39" s="11" t="inlineStr">
        <x:is>
          <x:t xml:space="preserve">On-Site Food Buyers/day</x:t>
        </x:is>
      </x:c>
      <x:c r="F39" s="12">
        <x:f>F38*$C$33*$C$34</x:f>
        <x:v>76.8</x:v>
      </x:c>
      <x:c r="G39" s="13" t="inlineStr">
        <x:is>
          <x:t xml:space="preserve">buyers</x:t>
        </x:is>
      </x:c>
    </x:row>
    <x:row r="41">
      <x:c r="E41" s="18" t="inlineStr">
        <x:is>
          <x:t xml:space="preserve">Total Expected Buyers/day</x:t>
        </x:is>
      </x:c>
      <x:c r="F41" s="19">
        <x:f>F39+F12</x:f>
        <x:v>82.8</x:v>
      </x:c>
      <x:c r="G41" s="18" t="inlineStr">
        <x:is>
          <x:t xml:space="preserve">buyers</x:t>
        </x:is>
      </x:c>
    </x:row>
    <x:row r="44">
      <x:c r="B44" s="7" t="inlineStr">
        <x:is>
          <x:t xml:space="preserve">Notes: Drive-by is optional; on-site is the existing business traffic. For gas stations, non-fuel stops are estimated using non-pump parking spaces × turns/space/day. Tune pull-in and capture rates based on your real ticket counts.</x:t>
        </x:is>
      </x:c>
    </x:row>
  </x:sheetData>
  <x:mergeCells>
    <x:mergeCell ref="B2:G2"/>
    <x:mergeCell ref="E10:G10"/>
    <x:mergeCell ref="E28:G28"/>
    <x:mergeCell ref="E19:G19"/>
    <x:mergeCell ref="E34:G34"/>
    <x:mergeCell ref="E9:G9"/>
    <x:mergeCell ref="B44:G44"/>
    <x:mergeCell ref="E36:G36"/>
    <x:mergeCell ref="E27:G27"/>
    <x:mergeCell ref="E26:G26"/>
    <x:mergeCell ref="E7:G7"/>
    <x:mergeCell ref="B15:G15"/>
    <x:mergeCell ref="B24:G24"/>
    <x:mergeCell ref="E22:G22"/>
    <x:mergeCell ref="B5:G5"/>
    <x:mergeCell ref="E21:G21"/>
    <x:mergeCell ref="B3:G3"/>
    <x:mergeCell ref="E33:G33"/>
    <x:mergeCell ref="B31:G31"/>
    <x:mergeCell ref="E8:G8"/>
    <x:mergeCell ref="E17:G17"/>
    <x:mergeCell ref="E20:G20"/>
  </x:mergeCells>
  <x:pageMargins left="0.7" right="0.7" top="0.75" bottom="0.75" header="0.3" footer="0.3"/>
</x:worksheet>
</file>